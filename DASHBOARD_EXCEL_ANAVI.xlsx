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37a79961449757/Documentos/Doutorado 2026/SANTANDER IA/"/>
    </mc:Choice>
  </mc:AlternateContent>
  <xr:revisionPtr revIDLastSave="383" documentId="8_{A0AC16DB-4E5E-47C5-8C7B-423822B0A808}" xr6:coauthVersionLast="47" xr6:coauthVersionMax="47" xr10:uidLastSave="{6DF3402B-E742-408F-B339-773531569A16}"/>
  <bookViews>
    <workbookView xWindow="-108" yWindow="-108" windowWidth="23256" windowHeight="12456" tabRatio="2" firstSheet="5" activeTab="5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C̳álculos" sheetId="3" state="hidden" r:id="rId5"/>
    <sheet name="D̳ashboard" sheetId="4" r:id="rId6"/>
  </sheets>
  <definedNames>
    <definedName name="SegmentaçãodeDados_Subscription_Type">#N/A</definedName>
    <definedName name="tbl_annual_eaplay">C̳álculos!$B$18:$C$24</definedName>
    <definedName name="tbl_annual_total">C̳álculos!$B$9:$C$14</definedName>
  </definedNames>
  <calcPr calcId="191029"/>
  <pivotCaches>
    <pivotCache cacheId="7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4" i="3"/>
</calcChain>
</file>

<file path=xl/sharedStrings.xml><?xml version="1.0" encoding="utf-8"?>
<sst xmlns="http://schemas.openxmlformats.org/spreadsheetml/2006/main" count="2290" uniqueCount="325">
  <si>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</si>
  <si>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</si>
  <si>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</si>
  <si>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</si>
  <si>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</si>
  <si>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</si>
  <si>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</si>
  <si>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</si>
  <si>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</si>
  <si>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</si>
  <si>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</si>
  <si>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</si>
  <si>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</si>
  <si>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</si>
  <si>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</si>
  <si>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</si>
  <si>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</si>
  <si>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</si>
  <si>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</si>
  <si>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</si>
  <si>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</si>
  <si>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</si>
  <si>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</si>
  <si>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</si>
  <si>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</si>
  <si>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</si>
  <si>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</si>
  <si>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</si>
  <si>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</si>
  <si>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</si>
  <si>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</si>
  <si>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</si>
  <si>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</si>
  <si>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</si>
  <si>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</si>
  <si>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</si>
  <si>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</si>
  <si>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</si>
  <si>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</si>
  <si>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</si>
  <si>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</si>
  <si>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</si>
  <si>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</si>
  <si>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</si>
  <si>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</si>
  <si>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</si>
  <si>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</si>
  <si>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</si>
  <si>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</si>
  <si>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</si>
  <si>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</si>
  <si>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</si>
  <si>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</si>
  <si>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</si>
  <si>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</si>
  <si>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</si>
  <si>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</si>
  <si>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</si>
  <si>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</si>
  <si>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</si>
  <si>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</si>
  <si>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</si>
  <si>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</si>
  <si>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</si>
  <si>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</si>
  <si>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</si>
  <si>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</si>
  <si>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</si>
  <si>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</si>
  <si>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</si>
  <si>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</si>
  <si>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</si>
  <si>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</si>
  <si>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</si>
  <si>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</si>
  <si>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</si>
  <si>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</si>
  <si>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</si>
  <si>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</si>
  <si>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</si>
  <si>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</si>
  <si>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</si>
  <si>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</si>
  <si>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</si>
  <si>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</si>
  <si>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</si>
  <si>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</si>
  <si>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</si>
  <si>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</si>
  <si>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</si>
  <si>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</si>
  <si>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</si>
  <si>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</si>
  <si>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</si>
  <si>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</si>
  <si>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</si>
  <si>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</si>
  <si>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</si>
  <si>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</si>
  <si>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</si>
  <si>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</si>
  <si>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</si>
  <si>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</si>
  <si>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</si>
  <si>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</si>
  <si>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</si>
  <si>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</si>
  <si>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</si>
  <si>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</si>
  <si>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</si>
  <si>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</si>
  <si>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</si>
  <si>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</si>
  <si>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</si>
  <si>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</si>
  <si>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</si>
  <si>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</si>
  <si>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</si>
  <si>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</si>
  <si>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</si>
  <si>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</si>
  <si>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</si>
  <si>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</si>
  <si>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</si>
  <si>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</si>
  <si>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</si>
  <si>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</si>
  <si>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</si>
  <si>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</si>
  <si>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</si>
  <si>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</si>
  <si>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</si>
  <si>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</si>
  <si>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</si>
  <si>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</si>
  <si>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</si>
  <si>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</si>
  <si>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</si>
  <si>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</si>
  <si>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</si>
  <si>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</si>
  <si>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</si>
  <si>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</si>
  <si>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</si>
  <si>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</si>
  <si>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</si>
  <si>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</si>
  <si>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</si>
  <si>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</si>
  <si>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</si>
  <si>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</si>
  <si>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</si>
  <si>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</si>
  <si>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</si>
  <si>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</si>
  <si>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</si>
  <si>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</si>
  <si>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</si>
  <si>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</si>
  <si>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</si>
  <si>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</si>
  <si>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</si>
  <si>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</si>
  <si>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</si>
  <si>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</si>
  <si>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</si>
  <si>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</si>
  <si>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</si>
  <si>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</si>
  <si>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</si>
  <si>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</si>
  <si>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</si>
  <si>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</si>
  <si>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</si>
  <si>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</si>
  <si>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</si>
  <si>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</si>
  <si>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</si>
  <si>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</si>
  <si>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</si>
  <si>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</si>
  <si>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</si>
  <si>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</si>
  <si>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</si>
  <si>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</si>
  <si>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</si>
  <si>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</si>
  <si>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</si>
  <si>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</si>
  <si>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</si>
  <si>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</si>
  <si>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</si>
  <si>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</si>
  <si>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</si>
  <si>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</si>
  <si>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</si>
  <si>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</si>
  <si>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</si>
  <si>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</si>
  <si>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</si>
  <si>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</si>
  <si>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</si>
  <si>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</si>
  <si>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</si>
  <si>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</si>
  <si>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</si>
  <si>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</si>
  <si>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</si>
  <si>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</si>
  <si>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</si>
  <si>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</si>
  <si>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</si>
  <si>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</si>
  <si>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</si>
  <si>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</si>
  <si>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</si>
  <si>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</si>
  <si>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</si>
  <si>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</si>
  <si>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</si>
  <si>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</si>
  <si>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</si>
  <si>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</si>
  <si>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</si>
  <si>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</si>
  <si>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</si>
  <si>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</si>
  <si>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</si>
  <si>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</si>
  <si>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</si>
  <si>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</si>
  <si>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</si>
  <si>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</si>
  <si>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</si>
  <si>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</si>
  <si>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</si>
  <si>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</si>
  <si>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</si>
  <si>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</si>
  <si>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</si>
  <si>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</si>
  <si>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</si>
  <si>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</si>
  <si>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</si>
  <si>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</si>
  <si>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</si>
  <si>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</si>
  <si>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</si>
  <si>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</si>
  <si>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</si>
  <si>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</si>
  <si>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</si>
  <si>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</si>
  <si>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</si>
  <si>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</si>
  <si>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</si>
  <si>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</si>
  <si>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</si>
  <si>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</si>
  <si>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</si>
  <si>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</si>
  <si>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</si>
  <si>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</si>
  <si>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</si>
  <si>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</si>
  <si>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</si>
  <si>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</si>
  <si>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</si>
  <si>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</si>
  <si>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</si>
  <si>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</si>
  <si>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</si>
  <si>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</si>
  <si>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</si>
  <si>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</si>
  <si>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</si>
  <si>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</si>
  <si>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</si>
  <si>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</si>
  <si>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</si>
  <si>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</si>
  <si>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</si>
  <si>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</si>
  <si>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</si>
  <si>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</si>
  <si>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</si>
  <si>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</si>
  <si>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</si>
  <si>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</si>
  <si>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</si>
  <si>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</si>
  <si>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</si>
  <si>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</si>
  <si>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</si>
  <si>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</si>
  <si>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</si>
  <si>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</si>
  <si>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</si>
  <si>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</si>
  <si>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</si>
  <si>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</si>
  <si>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</si>
  <si>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</si>
  <si>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</si>
  <si>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</si>
  <si>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</si>
  <si>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</si>
  <si>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</si>
  <si>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</si>
  <si>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</si>
  <si>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</si>
  <si>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</si>
  <si>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</si>
  <si>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XBOX GAME PASS SUBSCRIPTIONS SALES</t>
  </si>
  <si>
    <t>PERGUNTAS DE NEGÓCIO:</t>
  </si>
  <si>
    <t>Soma de Total Value</t>
  </si>
  <si>
    <t>Rótulos de Linha</t>
  </si>
  <si>
    <t>Total Geral</t>
  </si>
  <si>
    <r>
      <t xml:space="preserve">1) Qual o faturamento TOTAL de VENDAS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integradas)</t>
    </r>
  </si>
  <si>
    <r>
      <t xml:space="preserve">2) Qual o faturamento TOTAL de VENDAS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separado, por auto-renovação e não-renovação</t>
    </r>
  </si>
  <si>
    <r>
      <t xml:space="preserve">3) Qual o TOTAL de VENDAS de assinaturas do </t>
    </r>
    <r>
      <rPr>
        <b/>
        <sz val="11"/>
        <color theme="1"/>
        <rFont val="Aptos Narrow"/>
        <family val="2"/>
        <scheme val="minor"/>
      </rPr>
      <t>EA PLAY</t>
    </r>
  </si>
  <si>
    <t>Soma de EA Play Season Pass</t>
  </si>
  <si>
    <t>Detalhes do Soma de EA Play Season Pass - Plan: Ultimate, Subscription Type: Annual</t>
  </si>
  <si>
    <r>
      <t xml:space="preserve">4) Qual o TOTAL de VENDAS de assinaturas do </t>
    </r>
    <r>
      <rPr>
        <b/>
        <sz val="11"/>
        <color theme="1"/>
        <rFont val="Aptos Narrow"/>
        <family val="2"/>
        <scheme val="minor"/>
      </rPr>
      <t>Minecraft Season Pass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</si>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</sst>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6" tint="0.39997558519241921"/>
      <name val="Segoe UI"/>
      <family val="2"/>
    </font>
    <font>
      <sz val="14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left" indent="9"/>
    </xf>
    <xf numFmtId="0" fontId="5" fillId="0" borderId="2" xfId="0" applyFont="1" applyBorder="1" applyAlignment="1">
      <alignment horizontal="left" indent="9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3" fillId="0" borderId="0" xfId="0" applyFon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9" formatCode="dd/mm/yyyy"/>
    </dxf>
    <dxf>
      <numFmt numFmtId="19" formatCode="dd/mm/yyyy"/>
    </dxf>
    <dxf>
      <font>
        <b/>
        <i val="0"/>
        <sz val="9"/>
        <color rgb="FFF7F8FC"/>
      </font>
      <border>
        <bottom style="thin">
          <color theme="6"/>
        </bottom>
        <vertical/>
        <horizontal/>
      </border>
    </dxf>
    <dxf>
      <font>
        <b/>
        <i val="0"/>
        <strike val="0"/>
        <sz val="9"/>
        <color rgb="FFF7F8FC"/>
        <name val="Segoe UI"/>
        <family val="2"/>
        <scheme val="none"/>
      </font>
      <fill>
        <patternFill patternType="solid">
          <fgColor indexed="64"/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 2" pivot="0" table="0" count="10" xr9:uid="{2AFB51B2-089C-4291-81B7-4A44D73C551E}">
      <tableStyleElement type="wholeTable" dxfId="3"/>
      <tableStyleElement type="headerRow" dxfId="2"/>
    </tableStyle>
  </tableStyles>
  <colors>
    <mruColors>
      <color rgb="FF00CC66"/>
      <color rgb="FF2AE6B1"/>
      <color rgb="FF22C55E"/>
      <color rgb="FFF7F8FC"/>
      <color rgb="FFE8E6E9"/>
      <color rgb="FF5BF6A8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3 2 2">
        <x14:slicerStyle name="SlicerStyleLight3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[DASHBOARD_EXCEL_ANAVI.xlsx]C̳álculos!Tabela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816901265720158E-2"/>
          <c:y val="0.27956989247311825"/>
          <c:w val="0.94211620705407972"/>
          <c:h val="0.715667174667682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6-4A8F-ABB4-4393E034A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5423775"/>
        <c:axId val="785733039"/>
      </c:barChart>
      <c:catAx>
        <c:axId val="78542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85733039"/>
        <c:crosses val="autoZero"/>
        <c:auto val="1"/>
        <c:lblAlgn val="ctr"/>
        <c:lblOffset val="100"/>
        <c:noMultiLvlLbl val="0"/>
      </c:catAx>
      <c:valAx>
        <c:axId val="7857330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8542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1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571500</xdr:colOff>
      <xdr:row>2</xdr:row>
      <xdr:rowOff>15240</xdr:rowOff>
    </xdr:from>
    <xdr:to>
      <xdr:col>0</xdr:col>
      <xdr:colOff>1266825</xdr:colOff>
      <xdr:row>4</xdr:row>
      <xdr:rowOff>167640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274F2C9-5B74-42D6-A3E8-7CC2785D68BA}"/>
            </a:ext>
          </a:extLst>
        </xdr:cNvPr>
        <xdr:cNvSpPr/>
      </xdr:nvSpPr>
      <xdr:spPr>
        <a:xfrm>
          <a:off x="571500" y="381000"/>
          <a:ext cx="695325" cy="60198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152401</xdr:colOff>
      <xdr:row>2</xdr:row>
      <xdr:rowOff>22860</xdr:rowOff>
    </xdr:from>
    <xdr:to>
      <xdr:col>2</xdr:col>
      <xdr:colOff>38100</xdr:colOff>
      <xdr:row>4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62606B-1E8C-4023-8717-36E5AEA52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2205" r="66994" b="-2877"/>
        <a:stretch>
          <a:fillRect/>
        </a:stretch>
      </xdr:blipFill>
      <xdr:spPr>
        <a:xfrm>
          <a:off x="1981201" y="388620"/>
          <a:ext cx="495299" cy="502920"/>
        </a:xfrm>
        <a:prstGeom prst="rect">
          <a:avLst/>
        </a:prstGeom>
      </xdr:spPr>
    </xdr:pic>
    <xdr:clientData/>
  </xdr:twoCellAnchor>
  <xdr:twoCellAnchor editAs="absolute">
    <xdr:from>
      <xdr:col>1</xdr:col>
      <xdr:colOff>114300</xdr:colOff>
      <xdr:row>5</xdr:row>
      <xdr:rowOff>22860</xdr:rowOff>
    </xdr:from>
    <xdr:to>
      <xdr:col>8</xdr:col>
      <xdr:colOff>448509</xdr:colOff>
      <xdr:row>6</xdr:row>
      <xdr:rowOff>56045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88FA220-7D82-4876-9BEC-E2CB4537B128}"/>
            </a:ext>
          </a:extLst>
        </xdr:cNvPr>
        <xdr:cNvSpPr/>
      </xdr:nvSpPr>
      <xdr:spPr>
        <a:xfrm>
          <a:off x="1943100" y="1028700"/>
          <a:ext cx="460140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17/10/2026 19:00</a:t>
          </a:r>
        </a:p>
      </xdr:txBody>
    </xdr:sp>
    <xdr:clientData/>
  </xdr:twoCellAnchor>
  <xdr:twoCellAnchor editAs="absolute">
    <xdr:from>
      <xdr:col>0</xdr:col>
      <xdr:colOff>190500</xdr:colOff>
      <xdr:row>5</xdr:row>
      <xdr:rowOff>30480</xdr:rowOff>
    </xdr:from>
    <xdr:to>
      <xdr:col>0</xdr:col>
      <xdr:colOff>1691424</xdr:colOff>
      <xdr:row>6</xdr:row>
      <xdr:rowOff>144604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51DB8E0-806B-E805-1018-6ABA1018E9BC}"/>
            </a:ext>
          </a:extLst>
        </xdr:cNvPr>
        <xdr:cNvSpPr txBox="1"/>
      </xdr:nvSpPr>
      <xdr:spPr>
        <a:xfrm>
          <a:off x="190500" y="1036320"/>
          <a:ext cx="1500924" cy="297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Vindo Felipe!</a:t>
          </a:r>
          <a:endParaRPr lang="pt-BR" sz="1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45720</xdr:colOff>
      <xdr:row>8</xdr:row>
      <xdr:rowOff>175260</xdr:rowOff>
    </xdr:from>
    <xdr:to>
      <xdr:col>1</xdr:col>
      <xdr:colOff>7620</xdr:colOff>
      <xdr:row>15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3739FCCE-BBB2-4EBE-89A0-C2F4056E38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1729740"/>
              <a:ext cx="1790700" cy="1272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236220</xdr:colOff>
      <xdr:row>15</xdr:row>
      <xdr:rowOff>152400</xdr:rowOff>
    </xdr:from>
    <xdr:to>
      <xdr:col>20</xdr:col>
      <xdr:colOff>434340</xdr:colOff>
      <xdr:row>28</xdr:row>
      <xdr:rowOff>137160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2C15E0C-9C1B-4C2A-BEF9-3F8CEB4D5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213360</xdr:colOff>
      <xdr:row>8</xdr:row>
      <xdr:rowOff>137160</xdr:rowOff>
    </xdr:from>
    <xdr:to>
      <xdr:col>10</xdr:col>
      <xdr:colOff>580472</xdr:colOff>
      <xdr:row>16</xdr:row>
      <xdr:rowOff>22860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B8A09AAD-6529-ADF7-98B8-36558AD52C3B}"/>
            </a:ext>
          </a:extLst>
        </xdr:cNvPr>
        <xdr:cNvGrpSpPr/>
      </xdr:nvGrpSpPr>
      <xdr:grpSpPr>
        <a:xfrm>
          <a:off x="2042160" y="1691640"/>
          <a:ext cx="5853512" cy="1348740"/>
          <a:chOff x="2042160" y="1371600"/>
          <a:chExt cx="4855061" cy="134874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62E8D91-93A6-7E66-BCC1-D4A356ABCB2A}"/>
              </a:ext>
            </a:extLst>
          </xdr:cNvPr>
          <xdr:cNvSpPr/>
        </xdr:nvSpPr>
        <xdr:spPr>
          <a:xfrm>
            <a:off x="2042160" y="1379220"/>
            <a:ext cx="4853940" cy="1135380"/>
          </a:xfrm>
          <a:prstGeom prst="roundRect">
            <a:avLst>
              <a:gd name="adj" fmla="val 466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B1BE16C-5F3B-4647-A787-5DD40387DE71}"/>
              </a:ext>
            </a:extLst>
          </xdr:cNvPr>
          <xdr:cNvSpPr/>
        </xdr:nvSpPr>
        <xdr:spPr>
          <a:xfrm>
            <a:off x="4114800" y="1783080"/>
            <a:ext cx="2415540" cy="762000"/>
          </a:xfrm>
          <a:prstGeom prst="roundRect">
            <a:avLst>
              <a:gd name="adj" fmla="val 1343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35ACD1B-7456-46A3-861D-EA37BB1204C7}" type="TxLink">
              <a:rPr lang="en-US" sz="3000" b="1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pt-BR" sz="3000" b="1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C56402A7-2805-4C70-A498-F9DB1D3B28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5100" y="1668780"/>
            <a:ext cx="1099671" cy="1051560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A08755FB-8207-95B2-77F0-336507D9C1FA}"/>
              </a:ext>
            </a:extLst>
          </xdr:cNvPr>
          <xdr:cNvSpPr/>
        </xdr:nvSpPr>
        <xdr:spPr>
          <a:xfrm>
            <a:off x="2042160" y="1371600"/>
            <a:ext cx="4853940" cy="510540"/>
          </a:xfrm>
          <a:prstGeom prst="round2SameRect">
            <a:avLst/>
          </a:prstGeom>
          <a:solidFill>
            <a:srgbClr val="00CC6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AB10AFA3-A8B2-F1C5-C904-3ED4D266F687}"/>
              </a:ext>
            </a:extLst>
          </xdr:cNvPr>
          <xdr:cNvSpPr txBox="1"/>
        </xdr:nvSpPr>
        <xdr:spPr>
          <a:xfrm>
            <a:off x="2111861" y="1402080"/>
            <a:ext cx="4785360" cy="4343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</a:t>
            </a:r>
            <a:r>
              <a: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EA Play Season Pass</a:t>
            </a:r>
          </a:p>
        </xdr:txBody>
      </xdr:sp>
    </xdr:grpSp>
    <xdr:clientData/>
  </xdr:twoCellAnchor>
  <xdr:twoCellAnchor>
    <xdr:from>
      <xdr:col>11</xdr:col>
      <xdr:colOff>98690</xdr:colOff>
      <xdr:row>8</xdr:row>
      <xdr:rowOff>129638</xdr:rowOff>
    </xdr:from>
    <xdr:to>
      <xdr:col>20</xdr:col>
      <xdr:colOff>402726</xdr:colOff>
      <xdr:row>15</xdr:row>
      <xdr:rowOff>30479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C85F3F6F-A1EE-C0CD-FCBA-EBBD74CA0580}"/>
            </a:ext>
          </a:extLst>
        </xdr:cNvPr>
        <xdr:cNvGrpSpPr/>
      </xdr:nvGrpSpPr>
      <xdr:grpSpPr>
        <a:xfrm>
          <a:off x="8023490" y="1684118"/>
          <a:ext cx="5790436" cy="1181001"/>
          <a:chOff x="8023490" y="1501239"/>
          <a:chExt cx="5790436" cy="1146080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D4E3F849-6744-44FD-DE62-7806B0CAEA2F}"/>
              </a:ext>
            </a:extLst>
          </xdr:cNvPr>
          <xdr:cNvGrpSpPr/>
        </xdr:nvGrpSpPr>
        <xdr:grpSpPr>
          <a:xfrm>
            <a:off x="8023490" y="1501239"/>
            <a:ext cx="5790436" cy="1146080"/>
            <a:chOff x="8118987" y="1363584"/>
            <a:chExt cx="7443568" cy="1304625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C33C365C-2847-AFE0-3546-89491DA0B881}"/>
                </a:ext>
              </a:extLst>
            </xdr:cNvPr>
            <xdr:cNvSpPr/>
          </xdr:nvSpPr>
          <xdr:spPr>
            <a:xfrm>
              <a:off x="8119155" y="1473699"/>
              <a:ext cx="7423638" cy="1164870"/>
            </a:xfrm>
            <a:prstGeom prst="roundRect">
              <a:avLst>
                <a:gd name="adj" fmla="val 46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4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41EB6E4D-285B-C218-8582-19DCE417A999}"/>
                </a:ext>
              </a:extLst>
            </xdr:cNvPr>
            <xdr:cNvSpPr/>
          </xdr:nvSpPr>
          <xdr:spPr>
            <a:xfrm>
              <a:off x="11609139" y="1886418"/>
              <a:ext cx="3158783" cy="781791"/>
            </a:xfrm>
            <a:prstGeom prst="roundRect">
              <a:avLst>
                <a:gd name="adj" fmla="val 1343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80A8469D-FF12-45D4-B225-459F10478A7C}" type="TxLink">
                <a:rPr lang="en-US" sz="3000" b="1" i="0" u="none" strike="noStrike">
                  <a:solidFill>
                    <a:srgbClr val="2AE6B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pPr marL="0" indent="0" algn="ctr"/>
                <a:t> R$ 1.140,00 </a:t>
              </a:fld>
              <a:endParaRPr lang="pt-BR" sz="3000" b="1" i="0" u="none" strike="noStrike">
                <a:solidFill>
                  <a:srgbClr val="2AE6B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1369D416-9CC3-7D9C-EDB3-B5DE25BEE7BE}"/>
                </a:ext>
              </a:extLst>
            </xdr:cNvPr>
            <xdr:cNvSpPr/>
          </xdr:nvSpPr>
          <xdr:spPr>
            <a:xfrm>
              <a:off x="8118987" y="1363584"/>
              <a:ext cx="7443568" cy="580709"/>
            </a:xfrm>
            <a:prstGeom prst="round2SameRect">
              <a:avLst/>
            </a:prstGeom>
            <a:solidFill>
              <a:srgbClr val="00CC66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3101BA38-A754-D613-8102-01446FF19B30}"/>
                </a:ext>
              </a:extLst>
            </xdr:cNvPr>
            <xdr:cNvSpPr txBox="1"/>
          </xdr:nvSpPr>
          <xdr:spPr>
            <a:xfrm>
              <a:off x="8289907" y="1411692"/>
              <a:ext cx="7244275" cy="44562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pt-BR" sz="20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0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</a:t>
              </a:r>
              <a:r>
                <a:rPr lang="pt-BR" sz="20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Minecraft Season Pass</a:t>
              </a: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D0A5DAB5-41F3-4802-BDF4-652C0FDA0BF8}"/>
              </a:ext>
            </a:extLst>
          </xdr:cNvPr>
          <xdr:cNvGrpSpPr/>
        </xdr:nvGrpSpPr>
        <xdr:grpSpPr>
          <a:xfrm>
            <a:off x="9380220" y="2096849"/>
            <a:ext cx="899160" cy="394029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79906FCF-5925-0DF3-8C8B-3CE5074818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06598C56-B295-A340-1055-FB20CDF693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3.82723E-17</cdr:x>
      <cdr:y>0</cdr:y>
    </cdr:from>
    <cdr:to>
      <cdr:x>1</cdr:x>
      <cdr:y>0.2194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04E90C24-1EAF-4464-9E27-CA84E66E9AD4}"/>
            </a:ext>
          </a:extLst>
        </cdr:cNvPr>
        <cdr:cNvSpPr/>
      </cdr:nvSpPr>
      <cdr:spPr>
        <a:xfrm xmlns:a="http://schemas.openxmlformats.org/drawingml/2006/main">
          <a:off x="7620" y="0"/>
          <a:ext cx="11841480" cy="518256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8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8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800" b="1" kern="12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Virginia Gadelha Coelho Ellery" refreshedDate="46312.80390648148" createdVersion="8" refreshedVersion="8" minRefreshableVersion="3" recordCount="295" xr:uid="{D5A0BFFE-4DD6-4E9F-9A5E-4D5E1829C15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096622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63C99-E7C4-461E-A4B0-CE90A13AD868}" name="Tabela dinâmica3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E6C1D-B279-4EDD-B594-A9605ED1AD41}" name="Tabela dinâmica2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667F7-2645-472F-9904-26D3796D0BBC}" name="Tabela dinâmica1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C910CD4-DC10-40B8-961D-F76EBE3FF698}" sourceName="Subscription Type">
  <pivotTables>
    <pivotTable tabId="3" name="Tabela dinâmica1"/>
    <pivotTable tabId="3" name="Tabela dinâmica2"/>
    <pivotTable tabId="3" name="Tabela dinâmica3"/>
  </pivotTables>
  <data>
    <tabular pivotCacheId="140966229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79CB77C-5317-45F2-AE30-92984D364661}" cache="SegmentaçãodeDados_Subscription_Type" caption="Subscription Typ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4B0B7-70D8-4AFD-BA58-AE59229BD7DD}" name="Tabela2" displayName="Tabela2" ref="A3:M23" totalsRowShown="0">
  <autoFilter ref="A3:M23" xr:uid="{1A64B0B7-70D8-4AFD-BA58-AE59229BD7DD}"/>
  <tableColumns count="13">
    <tableColumn id="1" xr3:uid="{795DCF9F-F86D-4E6E-8FFF-33DE0824585A}" name="Subscriber ID"/>
    <tableColumn id="2" xr3:uid="{E6C913A2-39B2-4214-9324-DA4F5D5CC900}" name="Name"/>
    <tableColumn id="3" xr3:uid="{CFD8E33A-D209-4204-B333-A8668B6C17EF}" name="Plan"/>
    <tableColumn id="4" xr3:uid="{5EF66EE2-DB23-4F53-AE41-62541E9675F0}" name="Start Date" dataDxfId="1"/>
    <tableColumn id="5" xr3:uid="{03C750FD-D9E1-4805-A367-3BE456039132}" name="Auto Renewal"/>
    <tableColumn id="6" xr3:uid="{1DC36E50-EFF7-4024-81A2-E1E82D289DAE}" name="Subscription Price"/>
    <tableColumn id="7" xr3:uid="{9FC7B573-BB69-4A8B-8AF5-15FFFC026B91}" name="Subscription Type"/>
    <tableColumn id="8" xr3:uid="{746C245C-5925-47F4-AD9B-D91F2E28A135}" name="EA Play Season Pass"/>
    <tableColumn id="9" xr3:uid="{11C52752-D1B7-4233-9621-FCBE6A0124B6}" name="EA Play Season Pass_x000a_Price"/>
    <tableColumn id="10" xr3:uid="{C43FCBE3-A37A-49E5-BCD3-B2AE2CD9EA46}" name="Minecraft Season Pass"/>
    <tableColumn id="11" xr3:uid="{FB0D55E7-F043-4ED3-9654-C65B98C60604}" name="Minecraft Season Pass Price"/>
    <tableColumn id="12" xr3:uid="{5CAF61CF-DF4E-46DC-9342-BF73BFF199F3}" name="Coupon Value"/>
    <tableColumn id="13" xr3:uid="{1FD10366-5DA0-4926-B259-EB17A93DE0AF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A4BB1-2052-465C-8F53-8791AE689489}" name="Tabela3" displayName="Tabela3" ref="A3:M23" totalsRowShown="0">
  <autoFilter ref="A3:M23" xr:uid="{6A7A4BB1-2052-465C-8F53-8791AE689489}"/>
  <tableColumns count="13">
    <tableColumn id="1" xr3:uid="{F269747A-F553-4199-BD51-038788CF7DF5}" name="Subscriber ID"/>
    <tableColumn id="2" xr3:uid="{7D0A47BC-DF89-4C4E-BBB9-638D22F9E785}" name="Name"/>
    <tableColumn id="3" xr3:uid="{E7D86D25-D3FB-4B71-8238-4995C93FA5A6}" name="Plan"/>
    <tableColumn id="4" xr3:uid="{A6D6C455-34B3-4EF4-8061-89F5D4902480}" name="Start Date" dataDxfId="0"/>
    <tableColumn id="5" xr3:uid="{91158B07-260A-410C-9D10-38232322C8C0}" name="Auto Renewal"/>
    <tableColumn id="6" xr3:uid="{2AA9E9AC-254F-4894-8819-AC34D607F808}" name="Subscription Price"/>
    <tableColumn id="7" xr3:uid="{6B6D515E-5905-49B1-AF2A-0E04D3272DB3}" name="Subscription Type"/>
    <tableColumn id="8" xr3:uid="{FBC239DB-BFF4-49CA-A537-FC1BEF6C21B9}" name="EA Play Season Pass"/>
    <tableColumn id="9" xr3:uid="{C54C3208-2452-4CBA-B6B7-6388AA97ACCA}" name="EA Play Season Pass_x000a_Price"/>
    <tableColumn id="10" xr3:uid="{7ED19ACD-E7E5-4A53-8FBB-B9FE8BEAA93A}" name="Minecraft Season Pass"/>
    <tableColumn id="11" xr3:uid="{0685F64C-2DD7-4F53-8475-58B5D7843609}" name="Minecraft Season Pass Price"/>
    <tableColumn id="12" xr3:uid="{6B051C3E-30D5-4B84-A46C-C991D3986CF2}" name="Coupon Value"/>
    <tableColumn id="13" xr3:uid="{2F21A417-56D1-48C1-B760-2C471C4A2037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2" sqref="H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F283-3BAB-49BC-9E8A-EA6C64BEE690}">
  <sheetPr>
    <tabColor theme="3" tint="0.749992370372631"/>
  </sheetPr>
  <dimension ref="A1:M23"/>
  <sheetViews>
    <sheetView workbookViewId="0">
      <selection activeCell="A3" sqref="A3:M23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21" t="s">
        <v>322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3520</v>
      </c>
      <c r="B4" t="s">
        <v>303</v>
      </c>
      <c r="C4" t="s">
        <v>18</v>
      </c>
      <c r="D4" s="20">
        <v>45637</v>
      </c>
      <c r="E4" t="s">
        <v>19</v>
      </c>
      <c r="F4">
        <v>15</v>
      </c>
      <c r="G4" t="s">
        <v>24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 x14ac:dyDescent="0.3">
      <c r="A5">
        <v>3508</v>
      </c>
      <c r="B5" t="s">
        <v>294</v>
      </c>
      <c r="C5" t="s">
        <v>18</v>
      </c>
      <c r="D5" s="20">
        <v>45625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 x14ac:dyDescent="0.3">
      <c r="A6">
        <v>3496</v>
      </c>
      <c r="B6" t="s">
        <v>283</v>
      </c>
      <c r="C6" t="s">
        <v>18</v>
      </c>
      <c r="D6" s="20">
        <v>45613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 x14ac:dyDescent="0.3">
      <c r="A7">
        <v>3482</v>
      </c>
      <c r="B7" t="s">
        <v>269</v>
      </c>
      <c r="C7" t="s">
        <v>18</v>
      </c>
      <c r="D7" s="20">
        <v>45599</v>
      </c>
      <c r="E7" t="s">
        <v>19</v>
      </c>
      <c r="F7">
        <v>15</v>
      </c>
      <c r="G7" t="s">
        <v>24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">
      <c r="A8">
        <v>3470</v>
      </c>
      <c r="B8" t="s">
        <v>258</v>
      </c>
      <c r="C8" t="s">
        <v>18</v>
      </c>
      <c r="D8" s="20">
        <v>45587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5</v>
      </c>
      <c r="M8">
        <v>60</v>
      </c>
    </row>
    <row r="9" spans="1:13" x14ac:dyDescent="0.3">
      <c r="A9">
        <v>3458</v>
      </c>
      <c r="B9" t="s">
        <v>247</v>
      </c>
      <c r="C9" t="s">
        <v>18</v>
      </c>
      <c r="D9" s="20">
        <v>45575</v>
      </c>
      <c r="E9" t="s">
        <v>19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3">
      <c r="A10">
        <v>3446</v>
      </c>
      <c r="B10" t="s">
        <v>237</v>
      </c>
      <c r="C10" t="s">
        <v>18</v>
      </c>
      <c r="D10" s="20">
        <v>45563</v>
      </c>
      <c r="E10" t="s">
        <v>19</v>
      </c>
      <c r="F10">
        <v>15</v>
      </c>
      <c r="G10" t="s">
        <v>24</v>
      </c>
      <c r="H10" t="s">
        <v>19</v>
      </c>
      <c r="I10">
        <v>30</v>
      </c>
      <c r="J10" t="s">
        <v>19</v>
      </c>
      <c r="K10">
        <v>20</v>
      </c>
      <c r="L10">
        <v>5</v>
      </c>
      <c r="M10">
        <v>60</v>
      </c>
    </row>
    <row r="11" spans="1:13" x14ac:dyDescent="0.3">
      <c r="A11">
        <v>3428</v>
      </c>
      <c r="B11" t="s">
        <v>220</v>
      </c>
      <c r="C11" t="s">
        <v>18</v>
      </c>
      <c r="D11" s="20">
        <v>45545</v>
      </c>
      <c r="E11" t="s">
        <v>19</v>
      </c>
      <c r="F11">
        <v>15</v>
      </c>
      <c r="G11" t="s">
        <v>24</v>
      </c>
      <c r="H11" t="s">
        <v>19</v>
      </c>
      <c r="I11">
        <v>30</v>
      </c>
      <c r="J11" t="s">
        <v>19</v>
      </c>
      <c r="K11">
        <v>20</v>
      </c>
      <c r="L11">
        <v>3</v>
      </c>
      <c r="M11">
        <v>62</v>
      </c>
    </row>
    <row r="12" spans="1:13" x14ac:dyDescent="0.3">
      <c r="A12">
        <v>3416</v>
      </c>
      <c r="B12" t="s">
        <v>211</v>
      </c>
      <c r="C12" t="s">
        <v>18</v>
      </c>
      <c r="D12" s="20">
        <v>45533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">
      <c r="A13">
        <v>3400</v>
      </c>
      <c r="B13" t="s">
        <v>195</v>
      </c>
      <c r="C13" t="s">
        <v>18</v>
      </c>
      <c r="D13" s="20">
        <v>45517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5</v>
      </c>
      <c r="M13">
        <v>60</v>
      </c>
    </row>
    <row r="14" spans="1:13" x14ac:dyDescent="0.3">
      <c r="A14">
        <v>3388</v>
      </c>
      <c r="B14" t="s">
        <v>185</v>
      </c>
      <c r="C14" t="s">
        <v>18</v>
      </c>
      <c r="D14" s="20">
        <v>45505</v>
      </c>
      <c r="E14" t="s">
        <v>19</v>
      </c>
      <c r="F14">
        <v>15</v>
      </c>
      <c r="G14" t="s">
        <v>24</v>
      </c>
      <c r="H14" t="s">
        <v>19</v>
      </c>
      <c r="I14">
        <v>30</v>
      </c>
      <c r="J14" t="s">
        <v>19</v>
      </c>
      <c r="K14">
        <v>20</v>
      </c>
      <c r="L14">
        <v>3</v>
      </c>
      <c r="M14">
        <v>62</v>
      </c>
    </row>
    <row r="15" spans="1:13" x14ac:dyDescent="0.3">
      <c r="A15">
        <v>3242</v>
      </c>
      <c r="B15" t="s">
        <v>40</v>
      </c>
      <c r="C15" t="s">
        <v>18</v>
      </c>
      <c r="D15" s="20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3">
      <c r="A16">
        <v>3376</v>
      </c>
      <c r="B16" t="s">
        <v>173</v>
      </c>
      <c r="C16" t="s">
        <v>18</v>
      </c>
      <c r="D16" s="20">
        <v>45493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 x14ac:dyDescent="0.3">
      <c r="A17">
        <v>3358</v>
      </c>
      <c r="B17" t="s">
        <v>155</v>
      </c>
      <c r="C17" t="s">
        <v>18</v>
      </c>
      <c r="D17" s="20">
        <v>45475</v>
      </c>
      <c r="E17" t="s">
        <v>19</v>
      </c>
      <c r="F17">
        <v>15</v>
      </c>
      <c r="G17" t="s">
        <v>24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 x14ac:dyDescent="0.3">
      <c r="A18">
        <v>3346</v>
      </c>
      <c r="B18" t="s">
        <v>144</v>
      </c>
      <c r="C18" t="s">
        <v>18</v>
      </c>
      <c r="D18" s="20">
        <v>45463</v>
      </c>
      <c r="E18" t="s">
        <v>19</v>
      </c>
      <c r="F18">
        <v>15</v>
      </c>
      <c r="G18" t="s">
        <v>24</v>
      </c>
      <c r="H18" t="s">
        <v>19</v>
      </c>
      <c r="I18">
        <v>30</v>
      </c>
      <c r="J18" t="s">
        <v>19</v>
      </c>
      <c r="K18">
        <v>20</v>
      </c>
      <c r="L18">
        <v>5</v>
      </c>
      <c r="M18">
        <v>60</v>
      </c>
    </row>
    <row r="19" spans="1:13" x14ac:dyDescent="0.3">
      <c r="A19">
        <v>3318</v>
      </c>
      <c r="B19" t="s">
        <v>116</v>
      </c>
      <c r="C19" t="s">
        <v>18</v>
      </c>
      <c r="D19" s="20">
        <v>45435</v>
      </c>
      <c r="E19" t="s">
        <v>23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 x14ac:dyDescent="0.3">
      <c r="A20">
        <v>3306</v>
      </c>
      <c r="B20" t="s">
        <v>104</v>
      </c>
      <c r="C20" t="s">
        <v>18</v>
      </c>
      <c r="D20" s="20">
        <v>45423</v>
      </c>
      <c r="E20" t="s">
        <v>23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 x14ac:dyDescent="0.3">
      <c r="A21">
        <v>3288</v>
      </c>
      <c r="B21" t="s">
        <v>86</v>
      </c>
      <c r="C21" t="s">
        <v>18</v>
      </c>
      <c r="D21" s="20">
        <v>45405</v>
      </c>
      <c r="E21" t="s">
        <v>19</v>
      </c>
      <c r="F21">
        <v>15</v>
      </c>
      <c r="G21" t="s">
        <v>24</v>
      </c>
      <c r="H21" t="s">
        <v>19</v>
      </c>
      <c r="I21">
        <v>30</v>
      </c>
      <c r="J21" t="s">
        <v>19</v>
      </c>
      <c r="K21">
        <v>20</v>
      </c>
      <c r="L21">
        <v>3</v>
      </c>
      <c r="M21">
        <v>62</v>
      </c>
    </row>
    <row r="22" spans="1:13" x14ac:dyDescent="0.3">
      <c r="A22">
        <v>3276</v>
      </c>
      <c r="B22" t="s">
        <v>74</v>
      </c>
      <c r="C22" t="s">
        <v>18</v>
      </c>
      <c r="D22" s="20">
        <v>45393</v>
      </c>
      <c r="E22" t="s">
        <v>19</v>
      </c>
      <c r="F22">
        <v>15</v>
      </c>
      <c r="G22" t="s">
        <v>24</v>
      </c>
      <c r="H22" t="s">
        <v>19</v>
      </c>
      <c r="I22">
        <v>30</v>
      </c>
      <c r="J22" t="s">
        <v>19</v>
      </c>
      <c r="K22">
        <v>20</v>
      </c>
      <c r="L22">
        <v>5</v>
      </c>
      <c r="M22">
        <v>60</v>
      </c>
    </row>
    <row r="23" spans="1:13" x14ac:dyDescent="0.3">
      <c r="A23">
        <v>3254</v>
      </c>
      <c r="B23" t="s">
        <v>52</v>
      </c>
      <c r="C23" t="s">
        <v>18</v>
      </c>
      <c r="D23" s="20">
        <v>45371</v>
      </c>
      <c r="E23" t="s">
        <v>19</v>
      </c>
      <c r="F23">
        <v>15</v>
      </c>
      <c r="G23" t="s">
        <v>24</v>
      </c>
      <c r="H23" t="s">
        <v>19</v>
      </c>
      <c r="I23">
        <v>30</v>
      </c>
      <c r="J23" t="s">
        <v>19</v>
      </c>
      <c r="K23">
        <v>20</v>
      </c>
      <c r="L23">
        <v>20</v>
      </c>
      <c r="M23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F90E-1F62-471A-B019-C025D99BE5BD}">
  <sheetPr>
    <tabColor theme="3" tint="0.749992370372631"/>
  </sheetPr>
  <dimension ref="A1:M23"/>
  <sheetViews>
    <sheetView workbookViewId="0">
      <selection activeCell="A3" sqref="A3:M23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21" t="s">
        <v>322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3520</v>
      </c>
      <c r="B4" t="s">
        <v>303</v>
      </c>
      <c r="C4" t="s">
        <v>18</v>
      </c>
      <c r="D4" s="20">
        <v>45637</v>
      </c>
      <c r="E4" t="s">
        <v>19</v>
      </c>
      <c r="F4">
        <v>15</v>
      </c>
      <c r="G4" t="s">
        <v>24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 x14ac:dyDescent="0.3">
      <c r="A5">
        <v>3508</v>
      </c>
      <c r="B5" t="s">
        <v>294</v>
      </c>
      <c r="C5" t="s">
        <v>18</v>
      </c>
      <c r="D5" s="20">
        <v>45625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 x14ac:dyDescent="0.3">
      <c r="A6">
        <v>3496</v>
      </c>
      <c r="B6" t="s">
        <v>283</v>
      </c>
      <c r="C6" t="s">
        <v>18</v>
      </c>
      <c r="D6" s="20">
        <v>45613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 x14ac:dyDescent="0.3">
      <c r="A7">
        <v>3482</v>
      </c>
      <c r="B7" t="s">
        <v>269</v>
      </c>
      <c r="C7" t="s">
        <v>18</v>
      </c>
      <c r="D7" s="20">
        <v>45599</v>
      </c>
      <c r="E7" t="s">
        <v>19</v>
      </c>
      <c r="F7">
        <v>15</v>
      </c>
      <c r="G7" t="s">
        <v>24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">
      <c r="A8">
        <v>3470</v>
      </c>
      <c r="B8" t="s">
        <v>258</v>
      </c>
      <c r="C8" t="s">
        <v>18</v>
      </c>
      <c r="D8" s="20">
        <v>45587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5</v>
      </c>
      <c r="M8">
        <v>60</v>
      </c>
    </row>
    <row r="9" spans="1:13" x14ac:dyDescent="0.3">
      <c r="A9">
        <v>3458</v>
      </c>
      <c r="B9" t="s">
        <v>247</v>
      </c>
      <c r="C9" t="s">
        <v>18</v>
      </c>
      <c r="D9" s="20">
        <v>45575</v>
      </c>
      <c r="E9" t="s">
        <v>19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3">
      <c r="A10">
        <v>3446</v>
      </c>
      <c r="B10" t="s">
        <v>237</v>
      </c>
      <c r="C10" t="s">
        <v>18</v>
      </c>
      <c r="D10" s="20">
        <v>45563</v>
      </c>
      <c r="E10" t="s">
        <v>19</v>
      </c>
      <c r="F10">
        <v>15</v>
      </c>
      <c r="G10" t="s">
        <v>24</v>
      </c>
      <c r="H10" t="s">
        <v>19</v>
      </c>
      <c r="I10">
        <v>30</v>
      </c>
      <c r="J10" t="s">
        <v>19</v>
      </c>
      <c r="K10">
        <v>20</v>
      </c>
      <c r="L10">
        <v>5</v>
      </c>
      <c r="M10">
        <v>60</v>
      </c>
    </row>
    <row r="11" spans="1:13" x14ac:dyDescent="0.3">
      <c r="A11">
        <v>3428</v>
      </c>
      <c r="B11" t="s">
        <v>220</v>
      </c>
      <c r="C11" t="s">
        <v>18</v>
      </c>
      <c r="D11" s="20">
        <v>45545</v>
      </c>
      <c r="E11" t="s">
        <v>19</v>
      </c>
      <c r="F11">
        <v>15</v>
      </c>
      <c r="G11" t="s">
        <v>24</v>
      </c>
      <c r="H11" t="s">
        <v>19</v>
      </c>
      <c r="I11">
        <v>30</v>
      </c>
      <c r="J11" t="s">
        <v>19</v>
      </c>
      <c r="K11">
        <v>20</v>
      </c>
      <c r="L11">
        <v>3</v>
      </c>
      <c r="M11">
        <v>62</v>
      </c>
    </row>
    <row r="12" spans="1:13" x14ac:dyDescent="0.3">
      <c r="A12">
        <v>3416</v>
      </c>
      <c r="B12" t="s">
        <v>211</v>
      </c>
      <c r="C12" t="s">
        <v>18</v>
      </c>
      <c r="D12" s="20">
        <v>45533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">
      <c r="A13">
        <v>3400</v>
      </c>
      <c r="B13" t="s">
        <v>195</v>
      </c>
      <c r="C13" t="s">
        <v>18</v>
      </c>
      <c r="D13" s="20">
        <v>45517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5</v>
      </c>
      <c r="M13">
        <v>60</v>
      </c>
    </row>
    <row r="14" spans="1:13" x14ac:dyDescent="0.3">
      <c r="A14">
        <v>3388</v>
      </c>
      <c r="B14" t="s">
        <v>185</v>
      </c>
      <c r="C14" t="s">
        <v>18</v>
      </c>
      <c r="D14" s="20">
        <v>45505</v>
      </c>
      <c r="E14" t="s">
        <v>19</v>
      </c>
      <c r="F14">
        <v>15</v>
      </c>
      <c r="G14" t="s">
        <v>24</v>
      </c>
      <c r="H14" t="s">
        <v>19</v>
      </c>
      <c r="I14">
        <v>30</v>
      </c>
      <c r="J14" t="s">
        <v>19</v>
      </c>
      <c r="K14">
        <v>20</v>
      </c>
      <c r="L14">
        <v>3</v>
      </c>
      <c r="M14">
        <v>62</v>
      </c>
    </row>
    <row r="15" spans="1:13" x14ac:dyDescent="0.3">
      <c r="A15">
        <v>3242</v>
      </c>
      <c r="B15" t="s">
        <v>40</v>
      </c>
      <c r="C15" t="s">
        <v>18</v>
      </c>
      <c r="D15" s="20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3">
      <c r="A16">
        <v>3376</v>
      </c>
      <c r="B16" t="s">
        <v>173</v>
      </c>
      <c r="C16" t="s">
        <v>18</v>
      </c>
      <c r="D16" s="20">
        <v>45493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 x14ac:dyDescent="0.3">
      <c r="A17">
        <v>3358</v>
      </c>
      <c r="B17" t="s">
        <v>155</v>
      </c>
      <c r="C17" t="s">
        <v>18</v>
      </c>
      <c r="D17" s="20">
        <v>45475</v>
      </c>
      <c r="E17" t="s">
        <v>19</v>
      </c>
      <c r="F17">
        <v>15</v>
      </c>
      <c r="G17" t="s">
        <v>24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 x14ac:dyDescent="0.3">
      <c r="A18">
        <v>3346</v>
      </c>
      <c r="B18" t="s">
        <v>144</v>
      </c>
      <c r="C18" t="s">
        <v>18</v>
      </c>
      <c r="D18" s="20">
        <v>45463</v>
      </c>
      <c r="E18" t="s">
        <v>19</v>
      </c>
      <c r="F18">
        <v>15</v>
      </c>
      <c r="G18" t="s">
        <v>24</v>
      </c>
      <c r="H18" t="s">
        <v>19</v>
      </c>
      <c r="I18">
        <v>30</v>
      </c>
      <c r="J18" t="s">
        <v>19</v>
      </c>
      <c r="K18">
        <v>20</v>
      </c>
      <c r="L18">
        <v>5</v>
      </c>
      <c r="M18">
        <v>60</v>
      </c>
    </row>
    <row r="19" spans="1:13" x14ac:dyDescent="0.3">
      <c r="A19">
        <v>3318</v>
      </c>
      <c r="B19" t="s">
        <v>116</v>
      </c>
      <c r="C19" t="s">
        <v>18</v>
      </c>
      <c r="D19" s="20">
        <v>45435</v>
      </c>
      <c r="E19" t="s">
        <v>23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 x14ac:dyDescent="0.3">
      <c r="A20">
        <v>3306</v>
      </c>
      <c r="B20" t="s">
        <v>104</v>
      </c>
      <c r="C20" t="s">
        <v>18</v>
      </c>
      <c r="D20" s="20">
        <v>45423</v>
      </c>
      <c r="E20" t="s">
        <v>23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 x14ac:dyDescent="0.3">
      <c r="A21">
        <v>3288</v>
      </c>
      <c r="B21" t="s">
        <v>86</v>
      </c>
      <c r="C21" t="s">
        <v>18</v>
      </c>
      <c r="D21" s="20">
        <v>45405</v>
      </c>
      <c r="E21" t="s">
        <v>19</v>
      </c>
      <c r="F21">
        <v>15</v>
      </c>
      <c r="G21" t="s">
        <v>24</v>
      </c>
      <c r="H21" t="s">
        <v>19</v>
      </c>
      <c r="I21">
        <v>30</v>
      </c>
      <c r="J21" t="s">
        <v>19</v>
      </c>
      <c r="K21">
        <v>20</v>
      </c>
      <c r="L21">
        <v>3</v>
      </c>
      <c r="M21">
        <v>62</v>
      </c>
    </row>
    <row r="22" spans="1:13" x14ac:dyDescent="0.3">
      <c r="A22">
        <v>3276</v>
      </c>
      <c r="B22" t="s">
        <v>74</v>
      </c>
      <c r="C22" t="s">
        <v>18</v>
      </c>
      <c r="D22" s="20">
        <v>45393</v>
      </c>
      <c r="E22" t="s">
        <v>19</v>
      </c>
      <c r="F22">
        <v>15</v>
      </c>
      <c r="G22" t="s">
        <v>24</v>
      </c>
      <c r="H22" t="s">
        <v>19</v>
      </c>
      <c r="I22">
        <v>30</v>
      </c>
      <c r="J22" t="s">
        <v>19</v>
      </c>
      <c r="K22">
        <v>20</v>
      </c>
      <c r="L22">
        <v>5</v>
      </c>
      <c r="M22">
        <v>60</v>
      </c>
    </row>
    <row r="23" spans="1:13" x14ac:dyDescent="0.3">
      <c r="A23">
        <v>3254</v>
      </c>
      <c r="B23" t="s">
        <v>52</v>
      </c>
      <c r="C23" t="s">
        <v>18</v>
      </c>
      <c r="D23" s="20">
        <v>45371</v>
      </c>
      <c r="E23" t="s">
        <v>19</v>
      </c>
      <c r="F23">
        <v>15</v>
      </c>
      <c r="G23" t="s">
        <v>24</v>
      </c>
      <c r="H23" t="s">
        <v>19</v>
      </c>
      <c r="I23">
        <v>30</v>
      </c>
      <c r="J23" t="s">
        <v>19</v>
      </c>
      <c r="K23">
        <v>20</v>
      </c>
      <c r="L23">
        <v>20</v>
      </c>
      <c r="M23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4"/>
  <sheetViews>
    <sheetView showGridLines="0" topLeftCell="A11" workbookViewId="0">
      <selection activeCell="E34" sqref="E34"/>
    </sheetView>
  </sheetViews>
  <sheetFormatPr defaultRowHeight="14.4" x14ac:dyDescent="0.3"/>
  <cols>
    <col min="2" max="2" width="19.6640625" customWidth="1"/>
    <col min="3" max="3" width="18.44140625" bestFit="1" customWidth="1"/>
    <col min="4" max="4" width="30.5546875" bestFit="1" customWidth="1"/>
    <col min="5" max="5" width="10.3320312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314</v>
      </c>
    </row>
    <row r="5" spans="2:3" x14ac:dyDescent="0.3">
      <c r="B5" t="s">
        <v>318</v>
      </c>
    </row>
    <row r="7" spans="2:3" x14ac:dyDescent="0.3">
      <c r="B7" s="18" t="s">
        <v>319</v>
      </c>
    </row>
    <row r="9" spans="2:3" x14ac:dyDescent="0.3">
      <c r="B9" s="17" t="s">
        <v>16</v>
      </c>
      <c r="C9" t="s">
        <v>27</v>
      </c>
    </row>
    <row r="11" spans="2:3" x14ac:dyDescent="0.3">
      <c r="B11" s="17" t="s">
        <v>316</v>
      </c>
      <c r="C11" t="s">
        <v>315</v>
      </c>
    </row>
    <row r="12" spans="2:3" x14ac:dyDescent="0.3">
      <c r="B12" s="18" t="s">
        <v>23</v>
      </c>
      <c r="C12" s="16">
        <v>806</v>
      </c>
    </row>
    <row r="13" spans="2:3" x14ac:dyDescent="0.3">
      <c r="B13" s="18" t="s">
        <v>19</v>
      </c>
      <c r="C13" s="16">
        <v>1502</v>
      </c>
    </row>
    <row r="14" spans="2:3" x14ac:dyDescent="0.3">
      <c r="B14" s="18" t="s">
        <v>317</v>
      </c>
      <c r="C14" s="16">
        <v>2308</v>
      </c>
    </row>
    <row r="16" spans="2:3" x14ac:dyDescent="0.3">
      <c r="B16" t="s">
        <v>320</v>
      </c>
    </row>
    <row r="18" spans="2:5" x14ac:dyDescent="0.3">
      <c r="B18" s="17" t="s">
        <v>16</v>
      </c>
      <c r="C18" t="s">
        <v>27</v>
      </c>
    </row>
    <row r="20" spans="2:5" x14ac:dyDescent="0.3">
      <c r="B20" s="17" t="s">
        <v>316</v>
      </c>
      <c r="C20" t="s">
        <v>321</v>
      </c>
    </row>
    <row r="21" spans="2:5" x14ac:dyDescent="0.3">
      <c r="B21" s="18" t="s">
        <v>22</v>
      </c>
      <c r="C21" s="19">
        <v>0</v>
      </c>
    </row>
    <row r="22" spans="2:5" x14ac:dyDescent="0.3">
      <c r="B22" s="18" t="s">
        <v>26</v>
      </c>
      <c r="C22" s="19">
        <v>0</v>
      </c>
    </row>
    <row r="23" spans="2:5" x14ac:dyDescent="0.3">
      <c r="B23" s="18" t="s">
        <v>18</v>
      </c>
      <c r="C23" s="19">
        <v>990</v>
      </c>
    </row>
    <row r="24" spans="2:5" x14ac:dyDescent="0.3">
      <c r="B24" s="18" t="s">
        <v>317</v>
      </c>
      <c r="C24" s="19">
        <v>990</v>
      </c>
      <c r="E24" s="22">
        <f>GETPIVOTDATA("EA Play Season Pass
Price",$B$20,"Plan","Ultimate")</f>
        <v>990</v>
      </c>
    </row>
    <row r="26" spans="2:5" x14ac:dyDescent="0.3">
      <c r="B26" t="s">
        <v>323</v>
      </c>
    </row>
    <row r="28" spans="2:5" x14ac:dyDescent="0.3">
      <c r="B28" s="17" t="s">
        <v>16</v>
      </c>
      <c r="C28" t="s">
        <v>27</v>
      </c>
    </row>
    <row r="30" spans="2:5" x14ac:dyDescent="0.3">
      <c r="B30" s="17" t="s">
        <v>316</v>
      </c>
      <c r="C30" t="s">
        <v>324</v>
      </c>
    </row>
    <row r="31" spans="2:5" x14ac:dyDescent="0.3">
      <c r="B31" s="18" t="s">
        <v>22</v>
      </c>
      <c r="C31" s="16">
        <v>0</v>
      </c>
    </row>
    <row r="32" spans="2:5" x14ac:dyDescent="0.3">
      <c r="B32" s="18" t="s">
        <v>26</v>
      </c>
      <c r="C32" s="16">
        <v>480</v>
      </c>
    </row>
    <row r="33" spans="2:5" x14ac:dyDescent="0.3">
      <c r="B33" s="18" t="s">
        <v>18</v>
      </c>
      <c r="C33" s="16">
        <v>660</v>
      </c>
    </row>
    <row r="34" spans="2:5" x14ac:dyDescent="0.3">
      <c r="B34" s="18" t="s">
        <v>317</v>
      </c>
      <c r="C34" s="16">
        <v>1140</v>
      </c>
      <c r="E34" s="22">
        <f>GETPIVOTDATA("Minecraft Season Pass Price",$B$30)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V35"/>
  <sheetViews>
    <sheetView showGridLines="0" tabSelected="1" zoomScaleNormal="100" workbookViewId="0">
      <selection activeCell="J6" sqref="J6"/>
    </sheetView>
  </sheetViews>
  <sheetFormatPr defaultRowHeight="14.4" x14ac:dyDescent="0.3"/>
  <cols>
    <col min="1" max="1" width="26.6640625" customWidth="1"/>
  </cols>
  <sheetData>
    <row r="2" spans="1:22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ht="21" thickBot="1" x14ac:dyDescent="0.5">
      <c r="A4" s="12"/>
      <c r="B4" s="14" t="s">
        <v>313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15" thickTop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3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3">
      <c r="A7" s="12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3">
      <c r="A8" s="12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">
      <c r="A9" s="12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3">
      <c r="A10" s="1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3">
      <c r="A11" s="12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3">
      <c r="A12" s="12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3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3">
      <c r="A14" s="12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3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3">
      <c r="A16" s="12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3">
      <c r="A17" s="1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3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3">
      <c r="A19" s="12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3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3">
      <c r="A21" s="12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3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3">
      <c r="A23" s="12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3">
      <c r="A24" s="12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3">
      <c r="A25" s="1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3">
      <c r="A26" s="12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3">
      <c r="A27" s="1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3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3">
      <c r="A29" s="12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3">
      <c r="A30" s="12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3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3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3">
      <c r="A33" s="1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3">
      <c r="A34" s="12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3">
      <c r="A35" s="12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</sheetData>
  <mergeCells count="2">
    <mergeCell ref="A2:A35"/>
    <mergeCell ref="B4:V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A̳ssets</vt:lpstr>
      <vt:lpstr>B̳ases</vt:lpstr>
      <vt:lpstr>Detalhes1</vt:lpstr>
      <vt:lpstr>Detalhes2</vt:lpstr>
      <vt:lpstr>C̳álculos</vt:lpstr>
      <vt:lpstr>D̳ashboard</vt:lpstr>
      <vt:lpstr>tbl_annual_eaplay</vt:lpstr>
      <vt:lpstr>tbl_annual_total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Virginia Gadelha Coelho Ellery</cp:lastModifiedBy>
  <dcterms:created xsi:type="dcterms:W3CDTF">2024-12-19T13:13:10Z</dcterms:created>
  <dcterms:modified xsi:type="dcterms:W3CDTF">2026-10-17T19:47:59Z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